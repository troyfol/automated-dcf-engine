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EDA_Project\DCF_FMP\dist\"/>
    </mc:Choice>
  </mc:AlternateContent>
  <xr:revisionPtr revIDLastSave="0" documentId="8_{D5C7187A-FE6A-4C54-9025-FD4A4688DF0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ummary" sheetId="1" r:id="rId1"/>
    <sheet name="DCF Engine" sheetId="2" r:id="rId2"/>
    <sheet name="Income Statement" sheetId="3" r:id="rId3"/>
    <sheet name="Balance Sheet" sheetId="4" r:id="rId4"/>
    <sheet name="Cash Flow" sheetId="5" r:id="rId5"/>
    <sheet name="DuPont Analysis" sheetId="6" r:id="rId6"/>
    <sheet name="Comps Analysis" sheetId="7" r:id="rId7"/>
    <sheet name="Scenario Compari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2" i="1"/>
  <c r="B15" i="1" s="1"/>
  <c r="B17" i="1" s="1"/>
  <c r="B11" i="1"/>
  <c r="B10" i="1"/>
</calcChain>
</file>

<file path=xl/sharedStrings.xml><?xml version="1.0" encoding="utf-8"?>
<sst xmlns="http://schemas.openxmlformats.org/spreadsheetml/2006/main" count="123" uniqueCount="101">
  <si>
    <t>PLTR Live Valuation</t>
  </si>
  <si>
    <t>Assumptions (Purple - Institutional Default)</t>
  </si>
  <si>
    <t>WACC</t>
  </si>
  <si>
    <t>Terminal Growth</t>
  </si>
  <si>
    <t>Tax Rate</t>
  </si>
  <si>
    <t>Target NWC %</t>
  </si>
  <si>
    <t>Architecture Settings</t>
  </si>
  <si>
    <t>Decay Curve</t>
  </si>
  <si>
    <t>Linear</t>
  </si>
  <si>
    <t>Discounting</t>
  </si>
  <si>
    <t>Mid-Year</t>
  </si>
  <si>
    <t>Terminal Method</t>
  </si>
  <si>
    <t>Exit Multiple</t>
  </si>
  <si>
    <t>Capital Structure (Green = Linked)</t>
  </si>
  <si>
    <t>Total Cash</t>
  </si>
  <si>
    <t>Total Debt</t>
  </si>
  <si>
    <t>Shares Out</t>
  </si>
  <si>
    <t>Implied Enterprise Value</t>
  </si>
  <si>
    <t>Implied Share Price</t>
  </si>
  <si>
    <t>Current Market Price</t>
  </si>
  <si>
    <t>Upside / (Downside)</t>
  </si>
  <si>
    <t>Sensitivity Matrix: WACC vs Terminal Growth</t>
  </si>
  <si>
    <t>Revenue</t>
  </si>
  <si>
    <t>Revenue Growth (%)</t>
  </si>
  <si>
    <t>EBIT (Operating Income)</t>
  </si>
  <si>
    <t>EBIT Margin (%)</t>
  </si>
  <si>
    <t>Taxes</t>
  </si>
  <si>
    <t>NOPAT</t>
  </si>
  <si>
    <t>D&amp;A (Add Back)</t>
  </si>
  <si>
    <t>CapEx</t>
  </si>
  <si>
    <t>Change in NWC</t>
  </si>
  <si>
    <t>Unlevered Free Cash Flow</t>
  </si>
  <si>
    <t>Net Income</t>
  </si>
  <si>
    <t>Pretax Income</t>
  </si>
  <si>
    <t>Shares Outstanding</t>
  </si>
  <si>
    <t>Total Equity</t>
  </si>
  <si>
    <t>Total Assets</t>
  </si>
  <si>
    <t>Depreciation &amp; Amortization</t>
  </si>
  <si>
    <t>Profit Margin (%)</t>
  </si>
  <si>
    <t>Asset Turnover (x)</t>
  </si>
  <si>
    <t>Equity Multiplier (x)</t>
  </si>
  <si>
    <t>ROE (%)</t>
  </si>
  <si>
    <t>PLTR</t>
  </si>
  <si>
    <t>SNOW</t>
  </si>
  <si>
    <t>DDOG</t>
  </si>
  <si>
    <t>CRWD</t>
  </si>
  <si>
    <t>Current Price</t>
  </si>
  <si>
    <t>Forward P/E</t>
  </si>
  <si>
    <t>EV / EBITDA</t>
  </si>
  <si>
    <t>Scenario Comparison Log</t>
  </si>
  <si>
    <t>Assumptions Log</t>
  </si>
  <si>
    <t>Previous (Reference)</t>
  </si>
  <si>
    <t>Current (Retained)</t>
  </si>
  <si>
    <t>wacc</t>
  </si>
  <si>
    <t>0.1332</t>
  </si>
  <si>
    <t>0.08</t>
  </si>
  <si>
    <t>tg</t>
  </si>
  <si>
    <t>0.03</t>
  </si>
  <si>
    <t>tax</t>
  </si>
  <si>
    <t>0.21</t>
  </si>
  <si>
    <t>nwc</t>
  </si>
  <si>
    <t>0.02</t>
  </si>
  <si>
    <t>target_margin</t>
  </si>
  <si>
    <t>0.25</t>
  </si>
  <si>
    <t>0.35</t>
  </si>
  <si>
    <t>exit_mult</t>
  </si>
  <si>
    <t>15.0</t>
  </si>
  <si>
    <t>30.0</t>
  </si>
  <si>
    <t>decay</t>
  </si>
  <si>
    <t>Exponential</t>
  </si>
  <si>
    <t>margin_base</t>
  </si>
  <si>
    <t>TTM</t>
  </si>
  <si>
    <t>Manual Target</t>
  </si>
  <si>
    <t>reinv</t>
  </si>
  <si>
    <t>D&amp;A = CapEx</t>
  </si>
  <si>
    <t>discounting</t>
  </si>
  <si>
    <t>term_method</t>
  </si>
  <si>
    <t>Perpetuity Growth</t>
  </si>
  <si>
    <t>DCF Delta Matrix</t>
  </si>
  <si>
    <t>Revenue ($/Abs Diff)</t>
  </si>
  <si>
    <t>Revenue (% Diff)</t>
  </si>
  <si>
    <t>Revenue Growth (%) ($/Abs Diff)</t>
  </si>
  <si>
    <t>Revenue Growth (%) (% Diff)</t>
  </si>
  <si>
    <t>EBIT (Operating Income) ($/Abs Diff)</t>
  </si>
  <si>
    <t>EBIT (Operating Income) (% Diff)</t>
  </si>
  <si>
    <t>EBIT Margin (%) ($/Abs Diff)</t>
  </si>
  <si>
    <t>EBIT Margin (%) (% Diff)</t>
  </si>
  <si>
    <t>Taxes ($/Abs Diff)</t>
  </si>
  <si>
    <t>Taxes (% Diff)</t>
  </si>
  <si>
    <t>NOPAT ($/Abs Diff)</t>
  </si>
  <si>
    <t>NOPAT (% Diff)</t>
  </si>
  <si>
    <t>D&amp;A (Add Back) ($/Abs Diff)</t>
  </si>
  <si>
    <t>D&amp;A (Add Back) (% Diff)</t>
  </si>
  <si>
    <t>CapEx ($/Abs Diff)</t>
  </si>
  <si>
    <t>CapEx (% Diff)</t>
  </si>
  <si>
    <t>Change in NWC ($/Abs Diff)</t>
  </si>
  <si>
    <t>Change in NWC (% Diff)</t>
  </si>
  <si>
    <t>Unlevered Free Cash Flow ($/Abs Diff)</t>
  </si>
  <si>
    <t>Unlevered Free Cash Flow (% Diff)</t>
  </si>
  <si>
    <t>Sensitivity Delta ($ Diff)</t>
  </si>
  <si>
    <t>Sensitivity Delta (% Diff)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</si>
</sst>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\$#,##0"/>
    <numFmt numFmtId="167" formatCode="\$#,##0.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1"/>
      <color rgb="FF660099"/>
      <name val="Arial"/>
      <family val="2"/>
    </font>
    <font>
      <b/>
      <sz val="11"/>
      <color rgb="FF008000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b/>
      <sz val="14"/>
      <color theme="1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164" fontId="2" fillId="3" borderId="0" xfId="0" applyNumberFormat="1" applyFont="1" applyFill="1"/>
    <xf numFmtId="0" fontId="2" fillId="3" borderId="0" xfId="0" applyFont="1" applyFill="1"/>
    <xf numFmtId="164" fontId="3" fillId="3" borderId="0" xfId="0" applyNumberFormat="1" applyFont="1" applyFill="1"/>
    <xf numFmtId="0" fontId="3" fillId="3" borderId="0" xfId="0" applyFont="1" applyFill="1"/>
    <xf numFmtId="165" fontId="2" fillId="3" borderId="0" xfId="0" applyNumberFormat="1" applyFont="1" applyFill="1"/>
    <xf numFmtId="166" fontId="4" fillId="0" borderId="0" xfId="0" applyNumberFormat="1" applyFont="1"/>
    <xf numFmtId="3" fontId="4" fillId="0" borderId="0" xfId="0" applyNumberFormat="1" applyFont="1"/>
    <xf numFmtId="167" fontId="4" fillId="0" borderId="0" xfId="0" applyNumberFormat="1" applyFont="1"/>
    <xf numFmtId="167" fontId="5" fillId="0" borderId="0" xfId="0" applyNumberFormat="1" applyFont="1"/>
    <xf numFmtId="164" fontId="4" fillId="0" borderId="0" xfId="0" applyNumberFormat="1" applyFont="1"/>
    <xf numFmtId="164" fontId="6" fillId="0" borderId="0" xfId="0" applyNumberFormat="1" applyFont="1"/>
    <xf numFmtId="167" fontId="7" fillId="0" borderId="0" xfId="0" applyNumberFormat="1" applyFont="1"/>
    <xf numFmtId="0" fontId="8" fillId="0" borderId="0" xfId="0" applyFont="1"/>
    <xf numFmtId="0" fontId="9" fillId="0" borderId="2" xfId="0" applyFont="1" applyBorder="1" applyAlignment="1">
      <alignment horizontal="center" vertical="top"/>
    </xf>
    <xf numFmtId="166" fontId="10" fillId="0" borderId="0" xfId="0" applyNumberFormat="1" applyFont="1"/>
    <xf numFmtId="166" fontId="6" fillId="0" borderId="0" xfId="0" applyNumberFormat="1" applyFont="1"/>
    <xf numFmtId="164" fontId="10" fillId="0" borderId="0" xfId="0" applyNumberFormat="1" applyFont="1"/>
    <xf numFmtId="3" fontId="10" fillId="0" borderId="0" xfId="0" applyNumberFormat="1" applyFont="1"/>
    <xf numFmtId="2" fontId="6" fillId="0" borderId="0" xfId="0" applyNumberFormat="1" applyFont="1"/>
    <xf numFmtId="167" fontId="6" fillId="0" borderId="0" xfId="0" applyNumberFormat="1" applyFont="1"/>
    <xf numFmtId="0" fontId="11" fillId="0" borderId="0" xfId="0" applyFont="1"/>
    <xf numFmtId="166" fontId="12" fillId="0" borderId="0" xfId="0" applyNumberFormat="1" applyFont="1"/>
    <xf numFmtId="164" fontId="12" fillId="0" borderId="0" xfId="0" applyNumberFormat="1" applyFont="1"/>
    <xf numFmtId="166" fontId="13" fillId="0" borderId="0" xfId="0" applyNumberFormat="1" applyFont="1"/>
    <xf numFmtId="164" fontId="13" fillId="0" borderId="0" xfId="0" applyNumberFormat="1" applyFont="1"/>
    <xf numFmtId="0" fontId="0" fillId="0" borderId="0" xfId="0" applyAlignment="1">
      <alignment horizontal="centerContinuous"/>
    </xf>
    <xf numFmtId="0" fontId="1" fillId="0" borderId="1" xfId="0" applyFont="1" applyFill="1" applyBorder="1" applyAlignment="1">
      <alignment horizontal="centerContinuous"/>
    </xf>
    <xf numFmtId="0" fontId="1" fillId="0" borderId="0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AB1" sqref="AB1"/>
    </sheetView>
  </sheetViews>
  <sheetFormatPr defaultRowHeight="14.5" x14ac:dyDescent="0.35"/>
  <cols>
    <col min="1" max="1" width="43.54296875" bestFit="1" customWidth="1"/>
    <col min="2" max="3" width="15.7265625" customWidth="1"/>
    <col min="4" max="4" width="20.453125" bestFit="1" customWidth="1"/>
    <col min="5" max="7" width="15.7265625" customWidth="1"/>
  </cols>
  <sheetData>
    <row r="1" spans="1:5" x14ac:dyDescent="0.35">
      <c r="A1" s="1" t="s">
        <v>0</v>
      </c>
    </row>
    <row r="3" spans="1:5" x14ac:dyDescent="0.35">
      <c r="A3" s="1" t="s">
        <v>1</v>
      </c>
      <c r="D3" s="28" t="s">
        <v>6</v>
      </c>
      <c r="E3" s="27"/>
    </row>
    <row r="4" spans="1:5" x14ac:dyDescent="0.35">
      <c r="A4" t="s">
        <v>2</v>
      </c>
      <c r="B4" s="2">
        <v>0.08</v>
      </c>
      <c r="D4" t="s">
        <v>7</v>
      </c>
      <c r="E4" s="3" t="s">
        <v>8</v>
      </c>
    </row>
    <row r="5" spans="1:5" x14ac:dyDescent="0.35">
      <c r="A5" t="s">
        <v>3</v>
      </c>
      <c r="B5" s="4">
        <v>0.03</v>
      </c>
      <c r="D5" t="s">
        <v>9</v>
      </c>
      <c r="E5" s="5" t="s">
        <v>10</v>
      </c>
    </row>
    <row r="6" spans="1:5" x14ac:dyDescent="0.35">
      <c r="A6" t="s">
        <v>4</v>
      </c>
      <c r="B6" s="4">
        <v>0.21</v>
      </c>
      <c r="D6" t="s">
        <v>11</v>
      </c>
      <c r="E6" s="3" t="s">
        <v>12</v>
      </c>
    </row>
    <row r="7" spans="1:5" x14ac:dyDescent="0.35">
      <c r="A7" t="s">
        <v>5</v>
      </c>
      <c r="B7" s="4">
        <v>0.02</v>
      </c>
      <c r="D7" t="s">
        <v>12</v>
      </c>
      <c r="E7" s="6">
        <v>30</v>
      </c>
    </row>
    <row r="9" spans="1:5" x14ac:dyDescent="0.35">
      <c r="A9" s="1" t="s">
        <v>13</v>
      </c>
    </row>
    <row r="10" spans="1:5" x14ac:dyDescent="0.35">
      <c r="A10" t="s">
        <v>14</v>
      </c>
      <c r="B10" s="7">
        <f>'Balance Sheet'!E6</f>
        <v>2098524000</v>
      </c>
    </row>
    <row r="11" spans="1:5" x14ac:dyDescent="0.35">
      <c r="A11" t="s">
        <v>15</v>
      </c>
      <c r="B11" s="7">
        <f>'Balance Sheet'!E3</f>
        <v>239219000</v>
      </c>
    </row>
    <row r="12" spans="1:5" x14ac:dyDescent="0.35">
      <c r="A12" t="s">
        <v>16</v>
      </c>
      <c r="B12" s="8">
        <f>'Balance Sheet'!E2</f>
        <v>2338795190</v>
      </c>
    </row>
    <row r="14" spans="1:5" x14ac:dyDescent="0.35">
      <c r="A14" s="1" t="s">
        <v>17</v>
      </c>
      <c r="B14" s="7">
        <f>NPV(B4, 'DCF Engine'!F11:J11)*(1+B4)^0.5 + ('DCF Engine'!J4+'DCF Engine'!J8)*E7/(1+B4)^5</f>
        <v>49283628837.837944</v>
      </c>
    </row>
    <row r="15" spans="1:5" x14ac:dyDescent="0.35">
      <c r="A15" s="1" t="s">
        <v>18</v>
      </c>
      <c r="B15" s="9">
        <f>IF(B12=0, 0, (B14+B10-B11)/B12)</f>
        <v>21.867213536486684</v>
      </c>
    </row>
    <row r="16" spans="1:5" x14ac:dyDescent="0.35">
      <c r="A16" s="1" t="s">
        <v>19</v>
      </c>
      <c r="B16" s="10">
        <v>134.49</v>
      </c>
    </row>
    <row r="17" spans="1:6" x14ac:dyDescent="0.35">
      <c r="A17" s="1" t="s">
        <v>20</v>
      </c>
      <c r="B17" s="11">
        <f>IF(B16=0, 0, (B15-B16)/B16)</f>
        <v>-0.83740639797392602</v>
      </c>
    </row>
    <row r="19" spans="1:6" x14ac:dyDescent="0.35">
      <c r="A19" s="29" t="s">
        <v>21</v>
      </c>
      <c r="B19" s="27"/>
      <c r="C19" s="27"/>
      <c r="D19" s="27"/>
      <c r="E19" s="27"/>
      <c r="F19" s="27"/>
    </row>
    <row r="20" spans="1:6" x14ac:dyDescent="0.35">
      <c r="B20" s="12">
        <v>2.5000000000000001E-2</v>
      </c>
      <c r="C20" s="12">
        <v>2.75E-2</v>
      </c>
      <c r="D20" s="12">
        <v>0.03</v>
      </c>
      <c r="E20" s="12">
        <v>3.2500000000000001E-2</v>
      </c>
      <c r="F20" s="12">
        <v>3.5000000000000003E-2</v>
      </c>
    </row>
    <row r="21" spans="1:6" x14ac:dyDescent="0.35">
      <c r="A21" s="12">
        <v>7.0000000000000007E-2</v>
      </c>
      <c r="B21" s="13">
        <v>22.813614834164831</v>
      </c>
      <c r="C21" s="13">
        <v>22.813614834164831</v>
      </c>
      <c r="D21" s="13">
        <v>22.813614834164831</v>
      </c>
      <c r="E21" s="13">
        <v>22.813614834164831</v>
      </c>
      <c r="F21" s="13">
        <v>22.813614834164831</v>
      </c>
    </row>
    <row r="22" spans="1:6" x14ac:dyDescent="0.35">
      <c r="A22" s="12">
        <v>7.4999999999999997E-2</v>
      </c>
      <c r="B22" s="13">
        <v>22.333927239584231</v>
      </c>
      <c r="C22" s="13">
        <v>22.333927239584231</v>
      </c>
      <c r="D22" s="13">
        <v>22.333927239584231</v>
      </c>
      <c r="E22" s="13">
        <v>22.333927239584231</v>
      </c>
      <c r="F22" s="13">
        <v>22.333927239584231</v>
      </c>
    </row>
    <row r="23" spans="1:6" x14ac:dyDescent="0.35">
      <c r="A23" s="12">
        <v>0.08</v>
      </c>
      <c r="B23" s="13">
        <v>21.86721353648668</v>
      </c>
      <c r="C23" s="13">
        <v>21.86721353648668</v>
      </c>
      <c r="D23" s="13">
        <v>21.86721353648668</v>
      </c>
      <c r="E23" s="13">
        <v>21.86721353648668</v>
      </c>
      <c r="F23" s="13">
        <v>21.86721353648668</v>
      </c>
    </row>
    <row r="24" spans="1:6" x14ac:dyDescent="0.35">
      <c r="A24" s="12">
        <v>8.5000000000000006E-2</v>
      </c>
      <c r="B24" s="13">
        <v>21.41306276465102</v>
      </c>
      <c r="C24" s="13">
        <v>21.41306276465102</v>
      </c>
      <c r="D24" s="13">
        <v>21.41306276465102</v>
      </c>
      <c r="E24" s="13">
        <v>21.41306276465102</v>
      </c>
      <c r="F24" s="13">
        <v>21.41306276465102</v>
      </c>
    </row>
    <row r="25" spans="1:6" x14ac:dyDescent="0.35">
      <c r="A25" s="12">
        <v>0.09</v>
      </c>
      <c r="B25" s="13">
        <v>20.971078823997171</v>
      </c>
      <c r="C25" s="13">
        <v>20.971078823997171</v>
      </c>
      <c r="D25" s="13">
        <v>20.971078823997171</v>
      </c>
      <c r="E25" s="13">
        <v>20.971078823997171</v>
      </c>
      <c r="F25" s="13">
        <v>20.971078823997171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/>
  </sheetViews>
  <sheetFormatPr defaultRowHeight="14.5" x14ac:dyDescent="0.35"/>
  <cols>
    <col min="1" max="1" width="30.7265625" style="14" customWidth="1"/>
    <col min="2" max="26" width="15.7265625" customWidth="1"/>
  </cols>
  <sheetData>
    <row r="1" spans="1:10" x14ac:dyDescent="0.35">
      <c r="B1" s="15">
        <v>2021</v>
      </c>
      <c r="C1" s="15">
        <v>2022</v>
      </c>
      <c r="D1" s="15">
        <v>2023</v>
      </c>
      <c r="E1" s="15">
        <v>2024</v>
      </c>
      <c r="F1" s="15">
        <v>2025</v>
      </c>
      <c r="G1" s="15">
        <v>2026</v>
      </c>
      <c r="H1" s="15">
        <v>2027</v>
      </c>
      <c r="I1" s="15">
        <v>2028</v>
      </c>
      <c r="J1" s="15">
        <v>2029</v>
      </c>
    </row>
    <row r="2" spans="1:10" x14ac:dyDescent="0.35">
      <c r="A2" s="15" t="s">
        <v>22</v>
      </c>
      <c r="B2" s="16">
        <v>1541889000</v>
      </c>
      <c r="C2" s="16">
        <v>1905871000</v>
      </c>
      <c r="D2" s="16">
        <v>2225012000</v>
      </c>
      <c r="E2" s="16">
        <v>2865507000</v>
      </c>
      <c r="F2" s="17">
        <v>3690375767.4336138</v>
      </c>
      <c r="G2" s="17">
        <v>4514791050.6431704</v>
      </c>
      <c r="H2" s="17">
        <v>5232329882.3296747</v>
      </c>
      <c r="I2" s="17">
        <v>5726603715.2163668</v>
      </c>
      <c r="J2" s="17">
        <v>5898401826.6728582</v>
      </c>
    </row>
    <row r="3" spans="1:10" x14ac:dyDescent="0.35">
      <c r="A3" s="15" t="s">
        <v>23</v>
      </c>
      <c r="B3" s="18">
        <v>0</v>
      </c>
      <c r="C3" s="18">
        <v>0.2360623884079853</v>
      </c>
      <c r="D3" s="18">
        <v>0.16745152216493131</v>
      </c>
      <c r="E3" s="18">
        <v>0.2878613688375613</v>
      </c>
      <c r="F3" s="12">
        <v>0.2878613688375613</v>
      </c>
      <c r="G3" s="12">
        <v>0.22339602662817101</v>
      </c>
      <c r="H3" s="12">
        <v>0.15893068441878069</v>
      </c>
      <c r="I3" s="12">
        <v>9.4465342209390346E-2</v>
      </c>
      <c r="J3" s="12">
        <v>0.03</v>
      </c>
    </row>
    <row r="4" spans="1:10" x14ac:dyDescent="0.35">
      <c r="A4" s="15" t="s">
        <v>24</v>
      </c>
      <c r="B4" s="16">
        <v>-411046000</v>
      </c>
      <c r="C4" s="16">
        <v>-161201000</v>
      </c>
      <c r="D4" s="16">
        <v>119966000</v>
      </c>
      <c r="E4" s="16">
        <v>310403000</v>
      </c>
      <c r="F4" s="17">
        <v>1291631518.6017649</v>
      </c>
      <c r="G4" s="17">
        <v>1580176867.7251101</v>
      </c>
      <c r="H4" s="17">
        <v>1831315458.8153861</v>
      </c>
      <c r="I4" s="17">
        <v>2004311300.3257279</v>
      </c>
      <c r="J4" s="17">
        <v>2064440639.3355</v>
      </c>
    </row>
    <row r="5" spans="1:10" x14ac:dyDescent="0.35">
      <c r="A5" s="15" t="s">
        <v>25</v>
      </c>
      <c r="B5" s="18">
        <v>-0.26658598641017611</v>
      </c>
      <c r="C5" s="18">
        <v>-8.4581275437844425E-2</v>
      </c>
      <c r="D5" s="18">
        <v>5.3917012582404049E-2</v>
      </c>
      <c r="E5" s="18">
        <v>0.10832393709036479</v>
      </c>
      <c r="F5" s="12">
        <v>0.35</v>
      </c>
      <c r="G5" s="12">
        <v>0.35</v>
      </c>
      <c r="H5" s="12">
        <v>0.35</v>
      </c>
      <c r="I5" s="12">
        <v>0.35</v>
      </c>
      <c r="J5" s="12">
        <v>0.35</v>
      </c>
    </row>
    <row r="6" spans="1:10" x14ac:dyDescent="0.35">
      <c r="A6" s="15" t="s">
        <v>26</v>
      </c>
      <c r="B6" s="16">
        <v>-31885000</v>
      </c>
      <c r="C6" s="16">
        <v>-10067000</v>
      </c>
      <c r="D6" s="16">
        <v>-19716000</v>
      </c>
      <c r="E6" s="16">
        <v>-21255000</v>
      </c>
      <c r="F6" s="17">
        <v>-271242618.90637058</v>
      </c>
      <c r="G6" s="17">
        <v>-331837142.22227299</v>
      </c>
      <c r="H6" s="17">
        <v>-384576246.35123098</v>
      </c>
      <c r="I6" s="17">
        <v>-420905373.06840289</v>
      </c>
      <c r="J6" s="17">
        <v>-433532534.26045501</v>
      </c>
    </row>
    <row r="7" spans="1:10" x14ac:dyDescent="0.35">
      <c r="A7" s="15" t="s">
        <v>27</v>
      </c>
      <c r="B7" s="16">
        <v>-442931000</v>
      </c>
      <c r="C7" s="16">
        <v>-171268000</v>
      </c>
      <c r="D7" s="16">
        <v>100250000</v>
      </c>
      <c r="E7" s="16">
        <v>289148000</v>
      </c>
      <c r="F7" s="17">
        <v>1020388899.695394</v>
      </c>
      <c r="G7" s="17">
        <v>1248339725.5028369</v>
      </c>
      <c r="H7" s="17">
        <v>1446739212.464155</v>
      </c>
      <c r="I7" s="17">
        <v>1583405927.2573249</v>
      </c>
      <c r="J7" s="17">
        <v>1630908105.0750451</v>
      </c>
    </row>
    <row r="8" spans="1:10" x14ac:dyDescent="0.35">
      <c r="A8" s="15" t="s">
        <v>28</v>
      </c>
      <c r="B8" s="16">
        <v>14897000</v>
      </c>
      <c r="C8" s="16">
        <v>22522000</v>
      </c>
      <c r="D8" s="16">
        <v>33354000</v>
      </c>
      <c r="E8" s="16">
        <v>31587000</v>
      </c>
      <c r="F8" s="17">
        <v>43816159.809739292</v>
      </c>
      <c r="G8" s="17">
        <v>53604515.813340001</v>
      </c>
      <c r="H8" s="17">
        <v>62123918.199491471</v>
      </c>
      <c r="I8" s="17">
        <v>67992475.391594619</v>
      </c>
      <c r="J8" s="17">
        <v>70032249.653342456</v>
      </c>
    </row>
    <row r="9" spans="1:10" x14ac:dyDescent="0.35">
      <c r="A9" s="15" t="s">
        <v>29</v>
      </c>
      <c r="B9" s="16">
        <v>-12627000</v>
      </c>
      <c r="C9" s="16">
        <v>-40027000</v>
      </c>
      <c r="D9" s="16">
        <v>-15114000</v>
      </c>
      <c r="E9" s="16">
        <v>-12634000</v>
      </c>
      <c r="F9" s="17">
        <v>-43816159.809739292</v>
      </c>
      <c r="G9" s="17">
        <v>-53604515.813340001</v>
      </c>
      <c r="H9" s="17">
        <v>-62123918.199491471</v>
      </c>
      <c r="I9" s="17">
        <v>-67992475.391594619</v>
      </c>
      <c r="J9" s="17">
        <v>-70032249.653342456</v>
      </c>
    </row>
    <row r="10" spans="1:10" x14ac:dyDescent="0.35">
      <c r="A10" s="15" t="s">
        <v>30</v>
      </c>
      <c r="B10" s="16">
        <v>-92097000</v>
      </c>
      <c r="C10" s="16">
        <v>-261217000</v>
      </c>
      <c r="D10" s="16">
        <v>6236000</v>
      </c>
      <c r="E10" s="16">
        <v>-70097000</v>
      </c>
      <c r="F10" s="17">
        <v>16497375.34867228</v>
      </c>
      <c r="G10" s="17">
        <v>16488305.664191131</v>
      </c>
      <c r="H10" s="17">
        <v>14350776.633730089</v>
      </c>
      <c r="I10" s="17">
        <v>9885476.6577338409</v>
      </c>
      <c r="J10" s="17">
        <v>3435962.229129829</v>
      </c>
    </row>
    <row r="11" spans="1:10" x14ac:dyDescent="0.35">
      <c r="A11" s="15" t="s">
        <v>31</v>
      </c>
      <c r="B11" s="16">
        <v>-532758000</v>
      </c>
      <c r="C11" s="16">
        <v>-449990000</v>
      </c>
      <c r="D11" s="16">
        <v>124726000</v>
      </c>
      <c r="E11" s="16">
        <v>238004000</v>
      </c>
      <c r="F11" s="17">
        <v>1036886275.044066</v>
      </c>
      <c r="G11" s="17">
        <v>1264828031.167028</v>
      </c>
      <c r="H11" s="17">
        <v>1461089989.0978849</v>
      </c>
      <c r="I11" s="17">
        <v>1593291403.9150591</v>
      </c>
      <c r="J11" s="17">
        <v>1634344067.3041749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5" x14ac:dyDescent="0.35"/>
  <cols>
    <col min="1" max="1" width="30.7265625" style="14" customWidth="1"/>
    <col min="2" max="26" width="15.7265625" customWidth="1"/>
  </cols>
  <sheetData>
    <row r="1" spans="1:5" x14ac:dyDescent="0.35">
      <c r="B1" s="15">
        <v>2021</v>
      </c>
      <c r="C1" s="15">
        <v>2022</v>
      </c>
      <c r="D1" s="15">
        <v>2023</v>
      </c>
      <c r="E1" s="15">
        <v>2024</v>
      </c>
    </row>
    <row r="2" spans="1:5" x14ac:dyDescent="0.35">
      <c r="A2" s="15" t="s">
        <v>24</v>
      </c>
      <c r="B2" s="16">
        <v>-411046000</v>
      </c>
      <c r="C2" s="16">
        <v>-161201000</v>
      </c>
      <c r="D2" s="16">
        <v>119966000</v>
      </c>
      <c r="E2" s="16">
        <v>310403000</v>
      </c>
    </row>
    <row r="3" spans="1:5" x14ac:dyDescent="0.35">
      <c r="A3" s="15" t="s">
        <v>32</v>
      </c>
      <c r="B3" s="16">
        <v>-520379000</v>
      </c>
      <c r="C3" s="16">
        <v>-373705000</v>
      </c>
      <c r="D3" s="16">
        <v>209825000</v>
      </c>
      <c r="E3" s="16">
        <v>462190000</v>
      </c>
    </row>
    <row r="4" spans="1:5" x14ac:dyDescent="0.35">
      <c r="A4" s="15" t="s">
        <v>26</v>
      </c>
      <c r="B4" s="16">
        <v>31885000</v>
      </c>
      <c r="C4" s="16">
        <v>10067000</v>
      </c>
      <c r="D4" s="16">
        <v>19716000</v>
      </c>
      <c r="E4" s="16">
        <v>21255000</v>
      </c>
    </row>
    <row r="5" spans="1:5" x14ac:dyDescent="0.35">
      <c r="A5" s="15" t="s">
        <v>33</v>
      </c>
      <c r="B5" s="16">
        <v>-488494000</v>
      </c>
      <c r="C5" s="16">
        <v>-361027000</v>
      </c>
      <c r="D5" s="16">
        <v>237091000</v>
      </c>
      <c r="E5" s="16">
        <v>489173000</v>
      </c>
    </row>
    <row r="6" spans="1:5" x14ac:dyDescent="0.35">
      <c r="A6" s="15" t="s">
        <v>22</v>
      </c>
      <c r="B6" s="16">
        <v>1541889000</v>
      </c>
      <c r="C6" s="16">
        <v>1905871000</v>
      </c>
      <c r="D6" s="16">
        <v>2225012000</v>
      </c>
      <c r="E6" s="16">
        <v>2865507000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5" x14ac:dyDescent="0.35"/>
  <cols>
    <col min="1" max="1" width="30.7265625" style="14" customWidth="1"/>
    <col min="2" max="26" width="15.7265625" customWidth="1"/>
  </cols>
  <sheetData>
    <row r="1" spans="1:5" x14ac:dyDescent="0.35">
      <c r="B1" s="15">
        <v>2021</v>
      </c>
      <c r="C1" s="15">
        <v>2022</v>
      </c>
      <c r="D1" s="15">
        <v>2023</v>
      </c>
      <c r="E1" s="15">
        <v>2024</v>
      </c>
    </row>
    <row r="2" spans="1:5" x14ac:dyDescent="0.35">
      <c r="A2" s="15" t="s">
        <v>34</v>
      </c>
      <c r="B2" s="19">
        <v>2027474000</v>
      </c>
      <c r="C2" s="19">
        <v>2099075000</v>
      </c>
      <c r="D2" s="19">
        <v>2200127714</v>
      </c>
      <c r="E2" s="19">
        <v>2338795190</v>
      </c>
    </row>
    <row r="3" spans="1:5" x14ac:dyDescent="0.35">
      <c r="A3" s="15" t="s">
        <v>15</v>
      </c>
      <c r="B3" s="16">
        <v>260073000</v>
      </c>
      <c r="C3" s="16">
        <v>249404000</v>
      </c>
      <c r="D3" s="16">
        <v>229392000</v>
      </c>
      <c r="E3" s="16">
        <v>239219000</v>
      </c>
    </row>
    <row r="4" spans="1:5" x14ac:dyDescent="0.35">
      <c r="A4" s="15" t="s">
        <v>35</v>
      </c>
      <c r="B4" s="16">
        <v>2291030000</v>
      </c>
      <c r="C4" s="16">
        <v>2642437000</v>
      </c>
      <c r="D4" s="16">
        <v>3560965000</v>
      </c>
      <c r="E4" s="16">
        <v>5094407000</v>
      </c>
    </row>
    <row r="5" spans="1:5" x14ac:dyDescent="0.35">
      <c r="A5" s="15" t="s">
        <v>36</v>
      </c>
      <c r="B5" s="16">
        <v>3247450000</v>
      </c>
      <c r="C5" s="16">
        <v>3461239000</v>
      </c>
      <c r="D5" s="16">
        <v>4522425000</v>
      </c>
      <c r="E5" s="16">
        <v>6340884000</v>
      </c>
    </row>
    <row r="6" spans="1:5" x14ac:dyDescent="0.35">
      <c r="A6" s="15" t="s">
        <v>14</v>
      </c>
      <c r="B6" s="16">
        <v>2290674000</v>
      </c>
      <c r="C6" s="16">
        <v>2598540000</v>
      </c>
      <c r="D6" s="16">
        <v>831047000</v>
      </c>
      <c r="E6" s="16">
        <v>2098524000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4.5" x14ac:dyDescent="0.35"/>
  <cols>
    <col min="1" max="1" width="30.7265625" style="14" customWidth="1"/>
    <col min="2" max="26" width="15.7265625" customWidth="1"/>
  </cols>
  <sheetData>
    <row r="1" spans="1:5" x14ac:dyDescent="0.35">
      <c r="B1" s="15">
        <v>2021</v>
      </c>
      <c r="C1" s="15">
        <v>2022</v>
      </c>
      <c r="D1" s="15">
        <v>2023</v>
      </c>
      <c r="E1" s="15">
        <v>2024</v>
      </c>
    </row>
    <row r="2" spans="1:5" x14ac:dyDescent="0.35">
      <c r="A2" s="15" t="s">
        <v>29</v>
      </c>
      <c r="B2" s="16">
        <v>-12627000</v>
      </c>
      <c r="C2" s="16">
        <v>-40027000</v>
      </c>
      <c r="D2" s="16">
        <v>-15114000</v>
      </c>
      <c r="E2" s="16">
        <v>-12634000</v>
      </c>
    </row>
    <row r="3" spans="1:5" x14ac:dyDescent="0.35">
      <c r="A3" s="15" t="s">
        <v>30</v>
      </c>
      <c r="B3" s="16">
        <v>-92097000</v>
      </c>
      <c r="C3" s="16">
        <v>-261217000</v>
      </c>
      <c r="D3" s="16">
        <v>6236000</v>
      </c>
      <c r="E3" s="16">
        <v>-70097000</v>
      </c>
    </row>
    <row r="4" spans="1:5" x14ac:dyDescent="0.35">
      <c r="A4" s="15" t="s">
        <v>37</v>
      </c>
      <c r="B4" s="16">
        <v>14897000</v>
      </c>
      <c r="C4" s="16">
        <v>22522000</v>
      </c>
      <c r="D4" s="16">
        <v>33354000</v>
      </c>
      <c r="E4" s="16">
        <v>31587000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5" x14ac:dyDescent="0.35"/>
  <cols>
    <col min="1" max="1" width="30.7265625" style="14" customWidth="1"/>
    <col min="2" max="26" width="15.7265625" customWidth="1"/>
  </cols>
  <sheetData>
    <row r="1" spans="1:5" x14ac:dyDescent="0.35">
      <c r="B1" s="15">
        <v>2021</v>
      </c>
      <c r="C1" s="15">
        <v>2022</v>
      </c>
      <c r="D1" s="15">
        <v>2023</v>
      </c>
      <c r="E1" s="15">
        <v>2024</v>
      </c>
    </row>
    <row r="2" spans="1:5" x14ac:dyDescent="0.35">
      <c r="A2" s="15" t="s">
        <v>32</v>
      </c>
      <c r="B2" s="17">
        <v>-520379000</v>
      </c>
      <c r="C2" s="17">
        <v>-373705000</v>
      </c>
      <c r="D2" s="17">
        <v>209825000</v>
      </c>
      <c r="E2" s="17">
        <v>462190000</v>
      </c>
    </row>
    <row r="3" spans="1:5" x14ac:dyDescent="0.35">
      <c r="A3" s="15" t="s">
        <v>22</v>
      </c>
      <c r="B3" s="17">
        <v>1541889000</v>
      </c>
      <c r="C3" s="17">
        <v>1905871000</v>
      </c>
      <c r="D3" s="17">
        <v>2225012000</v>
      </c>
      <c r="E3" s="17">
        <v>2865507000</v>
      </c>
    </row>
    <row r="4" spans="1:5" x14ac:dyDescent="0.35">
      <c r="A4" s="15" t="s">
        <v>36</v>
      </c>
      <c r="B4" s="17">
        <v>3247450000</v>
      </c>
      <c r="C4" s="17">
        <v>3461239000</v>
      </c>
      <c r="D4" s="17">
        <v>4522425000</v>
      </c>
      <c r="E4" s="17">
        <v>6340884000</v>
      </c>
    </row>
    <row r="5" spans="1:5" x14ac:dyDescent="0.35">
      <c r="A5" s="15" t="s">
        <v>35</v>
      </c>
      <c r="B5" s="17">
        <v>2291030000</v>
      </c>
      <c r="C5" s="17">
        <v>2642437000</v>
      </c>
      <c r="D5" s="17">
        <v>3560965000</v>
      </c>
      <c r="E5" s="17">
        <v>5094407000</v>
      </c>
    </row>
    <row r="6" spans="1:5" x14ac:dyDescent="0.35">
      <c r="A6" s="15" t="s">
        <v>38</v>
      </c>
      <c r="B6" s="12">
        <v>-0.33749446296069302</v>
      </c>
      <c r="C6" s="12">
        <v>-0.19608095196369529</v>
      </c>
      <c r="D6" s="12">
        <v>9.4302862186810679E-2</v>
      </c>
      <c r="E6" s="12">
        <v>0.16129431894600149</v>
      </c>
    </row>
    <row r="7" spans="1:5" x14ac:dyDescent="0.35">
      <c r="A7" s="15" t="s">
        <v>39</v>
      </c>
      <c r="B7" s="20">
        <v>0.47479991993718151</v>
      </c>
      <c r="C7" s="20">
        <v>0.55063259139285092</v>
      </c>
      <c r="D7" s="20">
        <v>0.49199533436154269</v>
      </c>
      <c r="E7" s="20">
        <v>0.45190970218032689</v>
      </c>
    </row>
    <row r="8" spans="1:5" x14ac:dyDescent="0.35">
      <c r="A8" s="15" t="s">
        <v>40</v>
      </c>
      <c r="B8" s="20">
        <v>1.417462887871394</v>
      </c>
      <c r="C8" s="20">
        <v>1.309866233329309</v>
      </c>
      <c r="D8" s="20">
        <v>1.269999845547485</v>
      </c>
      <c r="E8" s="20">
        <v>1.244675582457389</v>
      </c>
    </row>
    <row r="9" spans="1:5" x14ac:dyDescent="0.35">
      <c r="A9" s="15" t="s">
        <v>41</v>
      </c>
      <c r="B9" s="12">
        <v>-0.2271375756755695</v>
      </c>
      <c r="C9" s="12">
        <v>-0.14142437454516421</v>
      </c>
      <c r="D9" s="12">
        <v>5.8923634464253367E-2</v>
      </c>
      <c r="E9" s="12">
        <v>9.0724985263250443E-2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defaultRowHeight="14.5" x14ac:dyDescent="0.35"/>
  <cols>
    <col min="1" max="1" width="25.7265625" style="14" customWidth="1"/>
    <col min="2" max="26" width="15.7265625" customWidth="1"/>
  </cols>
  <sheetData>
    <row r="1" spans="1:5" x14ac:dyDescent="0.35">
      <c r="B1" s="15" t="s">
        <v>42</v>
      </c>
      <c r="C1" s="15" t="s">
        <v>43</v>
      </c>
      <c r="D1" s="15" t="s">
        <v>44</v>
      </c>
      <c r="E1" s="15" t="s">
        <v>45</v>
      </c>
    </row>
    <row r="2" spans="1:5" x14ac:dyDescent="0.35">
      <c r="A2" s="15" t="s">
        <v>46</v>
      </c>
      <c r="B2" s="21">
        <v>134.78</v>
      </c>
      <c r="C2" s="21">
        <v>169.31</v>
      </c>
      <c r="D2" s="21">
        <v>109.11</v>
      </c>
      <c r="E2" s="21">
        <v>359.33499999999998</v>
      </c>
    </row>
    <row r="3" spans="1:5" x14ac:dyDescent="0.35">
      <c r="A3" s="15" t="s">
        <v>47</v>
      </c>
      <c r="B3" s="20">
        <v>73.744159999999994</v>
      </c>
      <c r="C3" s="20">
        <v>104.24272999999999</v>
      </c>
      <c r="D3" s="20">
        <v>41.261560000000003</v>
      </c>
      <c r="E3" s="20">
        <v>74.213639999999998</v>
      </c>
    </row>
    <row r="4" spans="1:5" x14ac:dyDescent="0.35">
      <c r="A4" s="15" t="s">
        <v>48</v>
      </c>
      <c r="B4" s="20">
        <v>209.21</v>
      </c>
      <c r="C4" s="20">
        <v>-44.128999999999998</v>
      </c>
      <c r="D4" s="20">
        <v>4465.8900000000003</v>
      </c>
      <c r="E4" s="20">
        <v>-899.09799999999996</v>
      </c>
    </row>
    <row r="5" spans="1:5" x14ac:dyDescent="0.35">
      <c r="A5" s="15" t="s">
        <v>38</v>
      </c>
      <c r="B5" s="12">
        <v>0.36310002000000002</v>
      </c>
      <c r="C5" s="12">
        <v>-0.30764000000000002</v>
      </c>
      <c r="D5" s="12">
        <v>3.1440000000000003E-2</v>
      </c>
      <c r="E5" s="12">
        <v>-6.8820000000000006E-2</v>
      </c>
    </row>
    <row r="6" spans="1:5" x14ac:dyDescent="0.35">
      <c r="A6" s="15" t="s">
        <v>41</v>
      </c>
      <c r="B6" s="12">
        <v>0.25983000000000001</v>
      </c>
      <c r="C6" s="12">
        <v>-0.53093000000000001</v>
      </c>
      <c r="D6" s="12">
        <v>3.3430000000000001E-2</v>
      </c>
      <c r="E6" s="12">
        <v>-8.8149994999999995E-2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4"/>
  <sheetViews>
    <sheetView workbookViewId="0"/>
  </sheetViews>
  <sheetFormatPr defaultRowHeight="14.5" x14ac:dyDescent="0.35"/>
  <cols>
    <col min="1" max="1" width="35.7265625" style="14" customWidth="1"/>
    <col min="2" max="26" width="15.7265625" customWidth="1"/>
  </cols>
  <sheetData>
    <row r="1" spans="1:3" ht="18" x14ac:dyDescent="0.4">
      <c r="A1" s="22" t="s">
        <v>49</v>
      </c>
    </row>
    <row r="3" spans="1:3" x14ac:dyDescent="0.35">
      <c r="A3" s="1" t="s">
        <v>50</v>
      </c>
      <c r="B3" s="1" t="s">
        <v>51</v>
      </c>
      <c r="C3" s="1" t="s">
        <v>52</v>
      </c>
    </row>
    <row r="5" spans="1:3" x14ac:dyDescent="0.35">
      <c r="A5" s="14" t="s">
        <v>53</v>
      </c>
      <c r="B5" t="s">
        <v>54</v>
      </c>
      <c r="C5" t="s">
        <v>55</v>
      </c>
    </row>
    <row r="6" spans="1:3" x14ac:dyDescent="0.35">
      <c r="A6" s="14" t="s">
        <v>56</v>
      </c>
      <c r="B6" t="s">
        <v>57</v>
      </c>
      <c r="C6" t="s">
        <v>57</v>
      </c>
    </row>
    <row r="7" spans="1:3" x14ac:dyDescent="0.35">
      <c r="A7" s="14" t="s">
        <v>58</v>
      </c>
      <c r="B7" t="s">
        <v>59</v>
      </c>
      <c r="C7" t="s">
        <v>59</v>
      </c>
    </row>
    <row r="8" spans="1:3" x14ac:dyDescent="0.35">
      <c r="A8" s="14" t="s">
        <v>60</v>
      </c>
      <c r="B8" t="s">
        <v>61</v>
      </c>
      <c r="C8" t="s">
        <v>61</v>
      </c>
    </row>
    <row r="9" spans="1:3" x14ac:dyDescent="0.35">
      <c r="A9" s="14" t="s">
        <v>62</v>
      </c>
      <c r="B9" t="s">
        <v>63</v>
      </c>
      <c r="C9" t="s">
        <v>64</v>
      </c>
    </row>
    <row r="10" spans="1:3" x14ac:dyDescent="0.35">
      <c r="A10" s="14" t="s">
        <v>65</v>
      </c>
      <c r="B10" t="s">
        <v>66</v>
      </c>
      <c r="C10" t="s">
        <v>67</v>
      </c>
    </row>
    <row r="11" spans="1:3" x14ac:dyDescent="0.35">
      <c r="A11" s="14" t="s">
        <v>68</v>
      </c>
      <c r="B11" t="s">
        <v>69</v>
      </c>
      <c r="C11" t="s">
        <v>8</v>
      </c>
    </row>
    <row r="12" spans="1:3" x14ac:dyDescent="0.35">
      <c r="A12" s="14" t="s">
        <v>70</v>
      </c>
      <c r="B12" t="s">
        <v>71</v>
      </c>
      <c r="C12" t="s">
        <v>72</v>
      </c>
    </row>
    <row r="13" spans="1:3" x14ac:dyDescent="0.35">
      <c r="A13" s="14" t="s">
        <v>73</v>
      </c>
      <c r="B13" t="s">
        <v>74</v>
      </c>
      <c r="C13" t="s">
        <v>74</v>
      </c>
    </row>
    <row r="14" spans="1:3" x14ac:dyDescent="0.35">
      <c r="A14" s="14" t="s">
        <v>75</v>
      </c>
      <c r="B14" t="s">
        <v>10</v>
      </c>
      <c r="C14" t="s">
        <v>10</v>
      </c>
    </row>
    <row r="15" spans="1:3" x14ac:dyDescent="0.35">
      <c r="A15" s="14" t="s">
        <v>76</v>
      </c>
      <c r="B15" t="s">
        <v>77</v>
      </c>
      <c r="C15" t="s">
        <v>12</v>
      </c>
    </row>
    <row r="18" spans="1:10" x14ac:dyDescent="0.35">
      <c r="A18" s="1" t="s">
        <v>78</v>
      </c>
      <c r="B18" s="1">
        <v>2021</v>
      </c>
      <c r="C18" s="1">
        <v>2022</v>
      </c>
      <c r="D18" s="1">
        <v>2023</v>
      </c>
      <c r="E18" s="1">
        <v>2024</v>
      </c>
      <c r="F18" s="1">
        <v>2025</v>
      </c>
      <c r="G18" s="1">
        <v>2026</v>
      </c>
      <c r="H18" s="1">
        <v>2027</v>
      </c>
      <c r="I18" s="1">
        <v>2028</v>
      </c>
      <c r="J18" s="1">
        <v>2029</v>
      </c>
    </row>
    <row r="19" spans="1:10" x14ac:dyDescent="0.35">
      <c r="A19" s="14" t="s">
        <v>79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7">
        <v>220830276.49886319</v>
      </c>
      <c r="H19" s="7">
        <v>539334656.50383186</v>
      </c>
      <c r="I19" s="7">
        <v>785816706.77873421</v>
      </c>
      <c r="J19" s="7">
        <v>809391207.98209667</v>
      </c>
    </row>
    <row r="20" spans="1:10" x14ac:dyDescent="0.35">
      <c r="A20" s="14" t="s">
        <v>80</v>
      </c>
      <c r="B20" s="24">
        <v>0</v>
      </c>
      <c r="C20" s="24">
        <v>0</v>
      </c>
      <c r="D20" s="24">
        <v>0</v>
      </c>
      <c r="E20" s="24">
        <v>0</v>
      </c>
      <c r="F20" s="24">
        <v>0</v>
      </c>
      <c r="G20" s="11">
        <v>5.1428107547831503E-2</v>
      </c>
      <c r="H20" s="11">
        <v>0.11492333372423651</v>
      </c>
      <c r="I20" s="11">
        <v>0.15904686954462019</v>
      </c>
      <c r="J20" s="11">
        <v>0.15904686954462019</v>
      </c>
    </row>
    <row r="21" spans="1:10" x14ac:dyDescent="0.35">
      <c r="A21" s="14" t="s">
        <v>81</v>
      </c>
      <c r="B21" s="24">
        <v>0</v>
      </c>
      <c r="C21" s="24">
        <v>0</v>
      </c>
      <c r="D21" s="24">
        <v>0</v>
      </c>
      <c r="E21" s="24">
        <v>0</v>
      </c>
      <c r="F21" s="24">
        <v>0</v>
      </c>
      <c r="G21" s="11">
        <v>5.9839509691023751E-2</v>
      </c>
      <c r="H21" s="11">
        <v>6.6001458310269254E-2</v>
      </c>
      <c r="I21" s="11">
        <v>4.1664993884257658E-2</v>
      </c>
      <c r="J21" s="24">
        <v>0</v>
      </c>
    </row>
    <row r="22" spans="1:10" x14ac:dyDescent="0.35">
      <c r="A22" s="14" t="s">
        <v>82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11">
        <v>0.36586441684876031</v>
      </c>
      <c r="H22" s="11">
        <v>0.71023359468420411</v>
      </c>
      <c r="I22" s="11">
        <v>0.78910452688103461</v>
      </c>
      <c r="J22" s="24">
        <v>0</v>
      </c>
    </row>
    <row r="23" spans="1:10" x14ac:dyDescent="0.35">
      <c r="A23" s="14" t="s">
        <v>83</v>
      </c>
      <c r="B23" s="23">
        <v>0</v>
      </c>
      <c r="C23" s="23">
        <v>0</v>
      </c>
      <c r="D23" s="23">
        <v>0</v>
      </c>
      <c r="E23" s="23">
        <v>0</v>
      </c>
      <c r="F23" s="7">
        <v>891875486.1304791</v>
      </c>
      <c r="G23" s="7">
        <v>1115038130.9582081</v>
      </c>
      <c r="H23" s="7">
        <v>1322951739.2076449</v>
      </c>
      <c r="I23" s="7">
        <v>1469105799.2468381</v>
      </c>
      <c r="J23" s="7">
        <v>1513178973.2242441</v>
      </c>
    </row>
    <row r="24" spans="1:10" x14ac:dyDescent="0.35">
      <c r="A24" s="14" t="s">
        <v>84</v>
      </c>
      <c r="B24" s="24">
        <v>0</v>
      </c>
      <c r="C24" s="24">
        <v>0</v>
      </c>
      <c r="D24" s="24">
        <v>0</v>
      </c>
      <c r="E24" s="24">
        <v>0</v>
      </c>
      <c r="F24" s="11">
        <v>2.2310494743929659</v>
      </c>
      <c r="G24" s="11">
        <v>2.397216234254413</v>
      </c>
      <c r="H24" s="11">
        <v>2.6023724514181481</v>
      </c>
      <c r="I24" s="11">
        <v>2.7449377786389579</v>
      </c>
      <c r="J24" s="11">
        <v>2.7449377786389579</v>
      </c>
    </row>
    <row r="25" spans="1:10" x14ac:dyDescent="0.35">
      <c r="A25" s="14" t="s">
        <v>85</v>
      </c>
      <c r="B25" s="24">
        <v>0</v>
      </c>
      <c r="C25" s="24">
        <v>0</v>
      </c>
      <c r="D25" s="24">
        <v>0</v>
      </c>
      <c r="E25" s="24">
        <v>0</v>
      </c>
      <c r="F25" s="11">
        <v>0.2416760629096352</v>
      </c>
      <c r="G25" s="11">
        <v>0.2416760629096352</v>
      </c>
      <c r="H25" s="11">
        <v>0.2416760629096352</v>
      </c>
      <c r="I25" s="11">
        <v>0.2416760629096352</v>
      </c>
      <c r="J25" s="11">
        <v>0.2416760629096352</v>
      </c>
    </row>
    <row r="26" spans="1:10" x14ac:dyDescent="0.35">
      <c r="A26" s="14" t="s">
        <v>86</v>
      </c>
      <c r="B26" s="24">
        <v>0</v>
      </c>
      <c r="C26" s="24">
        <v>0</v>
      </c>
      <c r="D26" s="24">
        <v>0</v>
      </c>
      <c r="E26" s="24">
        <v>0</v>
      </c>
      <c r="F26" s="11">
        <v>2.2310494743929659</v>
      </c>
      <c r="G26" s="11">
        <v>2.2310494743929659</v>
      </c>
      <c r="H26" s="11">
        <v>2.2310494743929659</v>
      </c>
      <c r="I26" s="11">
        <v>2.2310494743929659</v>
      </c>
      <c r="J26" s="11">
        <v>2.2310494743929659</v>
      </c>
    </row>
    <row r="27" spans="1:10" x14ac:dyDescent="0.35">
      <c r="A27" s="14" t="s">
        <v>87</v>
      </c>
      <c r="B27" s="23">
        <v>0</v>
      </c>
      <c r="C27" s="23">
        <v>0</v>
      </c>
      <c r="D27" s="23">
        <v>0</v>
      </c>
      <c r="E27" s="23">
        <v>0</v>
      </c>
      <c r="F27" s="25">
        <v>-187293852.08740059</v>
      </c>
      <c r="G27" s="25">
        <v>-234158007.50122359</v>
      </c>
      <c r="H27" s="25">
        <v>-277819865.23360538</v>
      </c>
      <c r="I27" s="25">
        <v>-308512217.84183598</v>
      </c>
      <c r="J27" s="25">
        <v>-317767584.37709111</v>
      </c>
    </row>
    <row r="28" spans="1:10" x14ac:dyDescent="0.35">
      <c r="A28" s="14" t="s">
        <v>88</v>
      </c>
      <c r="B28" s="24">
        <v>0</v>
      </c>
      <c r="C28" s="24">
        <v>0</v>
      </c>
      <c r="D28" s="24">
        <v>0</v>
      </c>
      <c r="E28" s="24">
        <v>0</v>
      </c>
      <c r="F28" s="26">
        <v>-2.2310494743929659</v>
      </c>
      <c r="G28" s="26">
        <v>-2.397216234254413</v>
      </c>
      <c r="H28" s="26">
        <v>-2.6023724514181481</v>
      </c>
      <c r="I28" s="26">
        <v>-2.7449377786389579</v>
      </c>
      <c r="J28" s="26">
        <v>-2.744937778638957</v>
      </c>
    </row>
    <row r="29" spans="1:10" x14ac:dyDescent="0.35">
      <c r="A29" s="14" t="s">
        <v>89</v>
      </c>
      <c r="B29" s="23">
        <v>0</v>
      </c>
      <c r="C29" s="23">
        <v>0</v>
      </c>
      <c r="D29" s="23">
        <v>0</v>
      </c>
      <c r="E29" s="23">
        <v>0</v>
      </c>
      <c r="F29" s="7">
        <v>704581634.04307842</v>
      </c>
      <c r="G29" s="7">
        <v>880880123.45698404</v>
      </c>
      <c r="H29" s="7">
        <v>1045131873.97404</v>
      </c>
      <c r="I29" s="7">
        <v>1160593581.4050021</v>
      </c>
      <c r="J29" s="7">
        <v>1195411388.847152</v>
      </c>
    </row>
    <row r="30" spans="1:10" x14ac:dyDescent="0.35">
      <c r="A30" s="14" t="s">
        <v>90</v>
      </c>
      <c r="B30" s="24">
        <v>0</v>
      </c>
      <c r="C30" s="24">
        <v>0</v>
      </c>
      <c r="D30" s="24">
        <v>0</v>
      </c>
      <c r="E30" s="24">
        <v>0</v>
      </c>
      <c r="F30" s="11">
        <v>2.2310494743929659</v>
      </c>
      <c r="G30" s="11">
        <v>2.397216234254413</v>
      </c>
      <c r="H30" s="11">
        <v>2.6023724514181481</v>
      </c>
      <c r="I30" s="11">
        <v>2.744937778638957</v>
      </c>
      <c r="J30" s="11">
        <v>2.7449377786389579</v>
      </c>
    </row>
    <row r="31" spans="1:10" x14ac:dyDescent="0.35">
      <c r="A31" s="14" t="s">
        <v>91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7">
        <v>2621937.5195583398</v>
      </c>
      <c r="H31" s="7">
        <v>6403568.359852083</v>
      </c>
      <c r="I31" s="7">
        <v>9330071.6716240123</v>
      </c>
      <c r="J31" s="7">
        <v>9609973.8217727318</v>
      </c>
    </row>
    <row r="32" spans="1:10" x14ac:dyDescent="0.35">
      <c r="A32" s="14" t="s">
        <v>92</v>
      </c>
      <c r="B32" s="24">
        <v>0</v>
      </c>
      <c r="C32" s="24">
        <v>0</v>
      </c>
      <c r="D32" s="24">
        <v>0</v>
      </c>
      <c r="E32" s="24">
        <v>0</v>
      </c>
      <c r="F32" s="24">
        <v>0</v>
      </c>
      <c r="G32" s="11">
        <v>5.1428107547831448E-2</v>
      </c>
      <c r="H32" s="11">
        <v>0.11492333372423651</v>
      </c>
      <c r="I32" s="11">
        <v>0.1590468695446203</v>
      </c>
      <c r="J32" s="11">
        <v>0.1590468695446203</v>
      </c>
    </row>
    <row r="33" spans="1:10" x14ac:dyDescent="0.35">
      <c r="A33" s="14" t="s">
        <v>93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5">
        <v>-2621937.5195583398</v>
      </c>
      <c r="H33" s="25">
        <v>-6403568.359852083</v>
      </c>
      <c r="I33" s="25">
        <v>-9330071.6716240123</v>
      </c>
      <c r="J33" s="25">
        <v>-9609973.8217727318</v>
      </c>
    </row>
    <row r="34" spans="1:10" x14ac:dyDescent="0.35">
      <c r="A34" s="14" t="s">
        <v>94</v>
      </c>
      <c r="B34" s="24">
        <v>0</v>
      </c>
      <c r="C34" s="24">
        <v>0</v>
      </c>
      <c r="D34" s="24">
        <v>0</v>
      </c>
      <c r="E34" s="24">
        <v>0</v>
      </c>
      <c r="F34" s="24">
        <v>0</v>
      </c>
      <c r="G34" s="26">
        <v>-5.1428107547831448E-2</v>
      </c>
      <c r="H34" s="26">
        <v>-0.11492333372423651</v>
      </c>
      <c r="I34" s="26">
        <v>-0.1590468695446203</v>
      </c>
      <c r="J34" s="26">
        <v>-0.1590468695446203</v>
      </c>
    </row>
    <row r="35" spans="1:10" x14ac:dyDescent="0.35">
      <c r="A35" s="14" t="s">
        <v>95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7">
        <v>4416605.5299772657</v>
      </c>
      <c r="H35" s="7">
        <v>6370087.6000993727</v>
      </c>
      <c r="I35" s="7">
        <v>4929641.005498047</v>
      </c>
      <c r="J35" s="7">
        <v>471490.02406724909</v>
      </c>
    </row>
    <row r="36" spans="1:10" x14ac:dyDescent="0.35">
      <c r="A36" s="14" t="s">
        <v>96</v>
      </c>
      <c r="B36" s="24">
        <v>0</v>
      </c>
      <c r="C36" s="24">
        <v>0</v>
      </c>
      <c r="D36" s="24">
        <v>0</v>
      </c>
      <c r="E36" s="24">
        <v>0</v>
      </c>
      <c r="F36" s="24">
        <v>0</v>
      </c>
      <c r="G36" s="11">
        <v>0.36586441684876098</v>
      </c>
      <c r="H36" s="11">
        <v>0.79818767192353324</v>
      </c>
      <c r="I36" s="11">
        <v>0.99471438349132313</v>
      </c>
      <c r="J36" s="11">
        <v>0.15904686954462299</v>
      </c>
    </row>
    <row r="37" spans="1:10" x14ac:dyDescent="0.35">
      <c r="A37" s="14" t="s">
        <v>97</v>
      </c>
      <c r="B37" s="23">
        <v>0</v>
      </c>
      <c r="C37" s="23">
        <v>0</v>
      </c>
      <c r="D37" s="23">
        <v>0</v>
      </c>
      <c r="E37" s="23">
        <v>0</v>
      </c>
      <c r="F37" s="7">
        <v>704581634.04307842</v>
      </c>
      <c r="G37" s="7">
        <v>885296728.98696136</v>
      </c>
      <c r="H37" s="7">
        <v>1051501961.574139</v>
      </c>
      <c r="I37" s="7">
        <v>1165523222.4105</v>
      </c>
      <c r="J37" s="7">
        <v>1195882878.8712201</v>
      </c>
    </row>
    <row r="38" spans="1:10" x14ac:dyDescent="0.35">
      <c r="A38" s="14" t="s">
        <v>98</v>
      </c>
      <c r="B38" s="24">
        <v>0</v>
      </c>
      <c r="C38" s="24">
        <v>0</v>
      </c>
      <c r="D38" s="24">
        <v>0</v>
      </c>
      <c r="E38" s="24">
        <v>0</v>
      </c>
      <c r="F38" s="11">
        <v>2.1202882750018039</v>
      </c>
      <c r="G38" s="11">
        <v>2.332605305285036</v>
      </c>
      <c r="H38" s="11">
        <v>2.567218499845378</v>
      </c>
      <c r="I38" s="11">
        <v>2.7246608625987281</v>
      </c>
      <c r="J38" s="11">
        <v>2.7274543572380092</v>
      </c>
    </row>
    <row r="41" spans="1:10" x14ac:dyDescent="0.35">
      <c r="A41" s="1" t="s">
        <v>99</v>
      </c>
      <c r="B41" s="12">
        <v>2.5000000000000001E-2</v>
      </c>
      <c r="C41" s="12">
        <v>2.75E-2</v>
      </c>
      <c r="D41" s="12">
        <v>0.03</v>
      </c>
      <c r="E41" s="12">
        <v>3.2500000000000001E-2</v>
      </c>
      <c r="F41" s="12">
        <v>3.5000000000000003E-2</v>
      </c>
    </row>
    <row r="42" spans="1:10" x14ac:dyDescent="0.35">
      <c r="A42" s="12">
        <v>7.0000000000000007E-2</v>
      </c>
      <c r="B42" s="9">
        <v>20.289699632094969</v>
      </c>
      <c r="C42" s="9">
        <v>20.258364814666379</v>
      </c>
      <c r="D42" s="9">
        <v>20.22534894480064</v>
      </c>
      <c r="E42" s="9">
        <v>20.190513015956629</v>
      </c>
      <c r="F42" s="9">
        <v>20.153702261214441</v>
      </c>
    </row>
    <row r="43" spans="1:10" x14ac:dyDescent="0.35">
      <c r="A43" s="12">
        <v>7.4999999999999997E-2</v>
      </c>
      <c r="B43" s="9">
        <v>19.892650616929419</v>
      </c>
      <c r="C43" s="9">
        <v>19.86481342499005</v>
      </c>
      <c r="D43" s="9">
        <v>19.835558860752339</v>
      </c>
      <c r="E43" s="9">
        <v>19.80477584488257</v>
      </c>
      <c r="F43" s="9">
        <v>19.772341379663558</v>
      </c>
    </row>
    <row r="44" spans="1:10" x14ac:dyDescent="0.35">
      <c r="A44" s="12">
        <v>0.08</v>
      </c>
      <c r="B44" s="9">
        <v>19.50086280821402</v>
      </c>
      <c r="C44" s="9">
        <v>19.476011430977149</v>
      </c>
      <c r="D44" s="9">
        <v>19.449956014145471</v>
      </c>
      <c r="E44" s="9">
        <v>19.422606882476071</v>
      </c>
      <c r="F44" s="9">
        <v>19.393865228827579</v>
      </c>
    </row>
    <row r="45" spans="1:10" x14ac:dyDescent="0.35">
      <c r="A45" s="12">
        <v>8.5000000000000006E-2</v>
      </c>
      <c r="B45" s="9">
        <v>19.114950465327489</v>
      </c>
      <c r="C45" s="9">
        <v>19.09266556989806</v>
      </c>
      <c r="D45" s="9">
        <v>19.069350873385929</v>
      </c>
      <c r="E45" s="9">
        <v>19.044933305704831</v>
      </c>
      <c r="F45" s="9">
        <v>19.019332716333761</v>
      </c>
    </row>
    <row r="46" spans="1:10" x14ac:dyDescent="0.35">
      <c r="A46" s="12">
        <v>0.09</v>
      </c>
      <c r="B46" s="9">
        <v>18.735369102305022</v>
      </c>
      <c r="C46" s="9">
        <v>18.715304097192959</v>
      </c>
      <c r="D46" s="9">
        <v>18.694352828604231</v>
      </c>
      <c r="E46" s="9">
        <v>18.67245525158782</v>
      </c>
      <c r="F46" s="9">
        <v>18.6495457717518</v>
      </c>
    </row>
    <row r="49" spans="1:6" x14ac:dyDescent="0.35">
      <c r="A49" s="1" t="s">
        <v>100</v>
      </c>
      <c r="B49" s="12">
        <v>2.5000000000000001E-2</v>
      </c>
      <c r="C49" s="12">
        <v>2.75E-2</v>
      </c>
      <c r="D49" s="12">
        <v>0.03</v>
      </c>
      <c r="E49" s="12">
        <v>3.2500000000000001E-2</v>
      </c>
      <c r="F49" s="12">
        <v>3.5000000000000003E-2</v>
      </c>
    </row>
    <row r="50" spans="1:6" x14ac:dyDescent="0.35">
      <c r="A50" s="12">
        <v>7.0000000000000007E-2</v>
      </c>
      <c r="B50" s="11">
        <v>8.0389783362988538</v>
      </c>
      <c r="C50" s="11">
        <v>7.9281341004129056</v>
      </c>
      <c r="D50" s="11">
        <v>7.8142469936769272</v>
      </c>
      <c r="E50" s="11">
        <v>7.6971899740241554</v>
      </c>
      <c r="F50" s="11">
        <v>7.5768288274452118</v>
      </c>
    </row>
    <row r="51" spans="1:6" x14ac:dyDescent="0.35">
      <c r="A51" s="12">
        <v>7.4999999999999997E-2</v>
      </c>
      <c r="B51" s="11">
        <v>8.1484623382403836</v>
      </c>
      <c r="C51" s="11">
        <v>8.0453210814240972</v>
      </c>
      <c r="D51" s="11">
        <v>7.9394051849257039</v>
      </c>
      <c r="E51" s="11">
        <v>7.8306011598877499</v>
      </c>
      <c r="F51" s="11">
        <v>7.7187892426435676</v>
      </c>
    </row>
    <row r="52" spans="1:6" x14ac:dyDescent="0.35">
      <c r="A52" s="12">
        <v>0.08</v>
      </c>
      <c r="B52" s="11">
        <v>8.2409013064808256</v>
      </c>
      <c r="C52" s="11">
        <v>8.1448621118653151</v>
      </c>
      <c r="D52" s="11">
        <v>8.0462904073652037</v>
      </c>
      <c r="E52" s="11">
        <v>7.9450846828922019</v>
      </c>
      <c r="F52" s="11">
        <v>7.8411379298141979</v>
      </c>
    </row>
    <row r="53" spans="1:6" x14ac:dyDescent="0.35">
      <c r="A53" s="12">
        <v>8.5000000000000006E-2</v>
      </c>
      <c r="B53" s="11">
        <v>8.3176746719270955</v>
      </c>
      <c r="C53" s="11">
        <v>8.2281885243921415</v>
      </c>
      <c r="D53" s="11">
        <v>8.1363886681023292</v>
      </c>
      <c r="E53" s="11">
        <v>8.0421841946849533</v>
      </c>
      <c r="F53" s="11">
        <v>7.9454793700333788</v>
      </c>
    </row>
    <row r="54" spans="1:6" x14ac:dyDescent="0.35">
      <c r="A54" s="12">
        <v>0.09</v>
      </c>
      <c r="B54" s="11">
        <v>8.3800544053298083</v>
      </c>
      <c r="C54" s="11">
        <v>8.2966192833037127</v>
      </c>
      <c r="D54" s="11">
        <v>8.2110683790816648</v>
      </c>
      <c r="E54" s="11">
        <v>8.1233201798308645</v>
      </c>
      <c r="F54" s="11">
        <v>8.0332889310854494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DCF Engine</vt:lpstr>
      <vt:lpstr>Income Statement</vt:lpstr>
      <vt:lpstr>Balance Sheet</vt:lpstr>
      <vt:lpstr>Cash Flow</vt:lpstr>
      <vt:lpstr>DuPont Analysis</vt:lpstr>
      <vt:lpstr>Comps Analysis</vt:lpstr>
      <vt:lpstr>Scenario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Troy Folmer</cp:lastModifiedBy>
  <dcterms:created xsi:type="dcterms:W3CDTF">2026-02-25T18:33:07Z</dcterms:created>
  <dcterms:modified xsi:type="dcterms:W3CDTF">2026-02-25T18:39:33Z</dcterms:modified>
</cp:coreProperties>
</file>